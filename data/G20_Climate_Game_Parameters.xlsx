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20 Country Parame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<sst xmlns="http://schemas.openxmlformats.org/spreadsheetml/2006/main" count="37" uniqueCount="37">
  <si>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G20 Country Parameters — Asymmetric Climate Cooperation Game</t>
  </si>
  <si>
    <t xml:space="preserve">Composite weights (edit these — yellow cells)</t>
  </si>
  <si>
    <t xml:space="preserve">Weight on Emission Share (w_e)</t>
  </si>
  <si>
    <t xml:space="preserve">Weight on GDP Share (w_g)</t>
  </si>
  <si>
    <t xml:space="preserve">Weights should sum to 1 — adjust per your paper's model</t>
  </si>
  <si>
    <t xml:space="preserve">Country</t>
  </si>
  <si>
    <t xml:space="preserve">GDP (USD bn, 2025 est.)</t>
  </si>
  <si>
    <t xml:space="preserve">GDP Share (%)</t>
  </si>
  <si>
    <t xml:space="preserve">CO2 Emissions (Mt, 2023 est.)</t>
  </si>
  <si>
    <t xml:space="preserve">Emission Share (%)</t>
  </si>
  <si>
    <t xml:space="preserve">Composite Size/Resource Score</t>
  </si>
  <si>
    <t xml:space="preserve">United States</t>
  </si>
  <si>
    <t xml:space="preserve">China</t>
  </si>
  <si>
    <t xml:space="preserve">Germany</t>
  </si>
  <si>
    <t xml:space="preserve">Japan</t>
  </si>
  <si>
    <t xml:space="preserve">India</t>
  </si>
  <si>
    <t xml:space="preserve">United Kingdom</t>
  </si>
  <si>
    <t xml:space="preserve">France</t>
  </si>
  <si>
    <t xml:space="preserve">Italy</t>
  </si>
  <si>
    <t xml:space="preserve">Canada</t>
  </si>
  <si>
    <t xml:space="preserve">Brazil</t>
  </si>
  <si>
    <t xml:space="preserve">Russia</t>
  </si>
  <si>
    <t xml:space="preserve">South Korea</t>
  </si>
  <si>
    <t xml:space="preserve">Mexico</t>
  </si>
  <si>
    <t xml:space="preserve">Australia</t>
  </si>
  <si>
    <t xml:space="preserve">Indonesia</t>
  </si>
  <si>
    <t xml:space="preserve">Turkey</t>
  </si>
  <si>
    <t xml:space="preserve">Saudi Arabia</t>
  </si>
  <si>
    <t xml:space="preserve">Argentina</t>
  </si>
  <si>
    <t xml:space="preserve">South Africa</t>
  </si>
  <si>
    <t xml:space="preserve">TOTAL / G20-19 sample</t>
  </si>
  <si>
    <t xml:space="preserve">Sources</t>
  </si>
  <si>
    <t xml:space="preserve">GDP: IMF World Economic Outlook, Oct 2025 (nominal, current USD, billions) — figures compiled from IMF WEO-derived rankings (statisticstimes.com, worldometers.info).</t>
  </si>
  <si>
    <t xml:space="preserve">CO2 Emissions: CIA World Factbook, 2023 est. (fossil-fuel CO2 emissions, metric tons); Argentina figure from World Bank/EDGAR total GHG 2023 (CIA entry unavailable) — note this one mixes CO2e with CO2.</t>
  </si>
  <si>
    <t xml:space="preserve">G20 sample = 19 member countries, excluding the EU bloc (per Statista/IMF convention, to avoid double-counting France/Germany/Italy).</t>
  </si>
  <si>
    <t xml:space="preserve">Composite Size/Resource Score = w_e x Emission Share + w_g x GDP Share. Weights are editable (cells B4:B5) — set per your paper's weighting rationale.</t>
  </si>
  <si>
    <t xml:space="preserve">Verify all figures against a single primary source (IMF WEO database, World Bank, or EDGAR) before citing in the final paper — this compilation draws on secondary aggregator sites.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</si>
</sst>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#,##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0.5</v>
      </c>
    </row>
    <row r="5" customFormat="false" ht="15" hidden="false" customHeight="false" outlineLevel="0" collapsed="false">
      <c r="A5" s="0" t="s">
        <v>3</v>
      </c>
      <c r="B5" s="3" t="n">
        <v>0.5</v>
      </c>
    </row>
    <row r="6" customFormat="false" ht="15" hidden="false" customHeight="false" outlineLevel="0" collapsed="false">
      <c r="A6" s="4" t="s">
        <v>4</v>
      </c>
    </row>
    <row r="8" customFormat="false" ht="26.8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</row>
    <row r="9" customFormat="false" ht="15" hidden="false" customHeight="false" outlineLevel="0" collapsed="false">
      <c r="A9" s="6" t="s">
        <v>11</v>
      </c>
      <c r="B9" s="7" t="n">
        <v>30615.7</v>
      </c>
      <c r="C9" s="8" t="n">
        <f aca="false">B9/SUM($B$9:$B$27)</f>
        <v>0.339090860760503</v>
      </c>
      <c r="D9" s="9" t="n">
        <v>4795</v>
      </c>
      <c r="E9" s="8" t="n">
        <f aca="false">D9/SUM($D$9:$D$27)</f>
        <v>0.163189599428241</v>
      </c>
      <c r="F9" s="10" t="n">
        <f aca="false">$B$4*E9+$B$5*C9</f>
        <v>0.251140230094372</v>
      </c>
    </row>
    <row r="10" customFormat="false" ht="15" hidden="false" customHeight="false" outlineLevel="0" collapsed="false">
      <c r="A10" s="6" t="s">
        <v>12</v>
      </c>
      <c r="B10" s="7" t="n">
        <v>19500</v>
      </c>
      <c r="C10" s="8" t="n">
        <f aca="false">B10/SUM($B$9:$B$27)</f>
        <v>0.215976501756609</v>
      </c>
      <c r="D10" s="9" t="n">
        <v>12196</v>
      </c>
      <c r="E10" s="8" t="n">
        <f aca="false">D10/SUM($D$9:$D$27)</f>
        <v>0.415069938399755</v>
      </c>
      <c r="F10" s="10" t="n">
        <f aca="false">$B$4*E10+$B$5*C10</f>
        <v>0.315523220078182</v>
      </c>
    </row>
    <row r="11" customFormat="false" ht="15" hidden="false" customHeight="false" outlineLevel="0" collapsed="false">
      <c r="A11" s="6" t="s">
        <v>13</v>
      </c>
      <c r="B11" s="7" t="n">
        <v>4750</v>
      </c>
      <c r="C11" s="8" t="n">
        <f aca="false">B11/SUM($B$9:$B$27)</f>
        <v>0.0526096606843022</v>
      </c>
      <c r="D11" s="9" t="n">
        <v>600</v>
      </c>
      <c r="E11" s="8" t="n">
        <f aca="false">D11/SUM($D$9:$D$27)</f>
        <v>0.0204199707313753</v>
      </c>
      <c r="F11" s="10" t="n">
        <f aca="false">$B$4*E11+$B$5*C11</f>
        <v>0.0365148157078387</v>
      </c>
    </row>
    <row r="12" customFormat="false" ht="15" hidden="false" customHeight="false" outlineLevel="0" collapsed="false">
      <c r="A12" s="6" t="s">
        <v>14</v>
      </c>
      <c r="B12" s="7" t="n">
        <v>4300</v>
      </c>
      <c r="C12" s="8" t="n">
        <f aca="false">B12/SUM($B$9:$B$27)</f>
        <v>0.047625587566842</v>
      </c>
      <c r="D12" s="9" t="n">
        <v>960</v>
      </c>
      <c r="E12" s="8" t="n">
        <f aca="false">D12/SUM($D$9:$D$27)</f>
        <v>0.0326719531702005</v>
      </c>
      <c r="F12" s="10" t="n">
        <f aca="false">$B$4*E12+$B$5*C12</f>
        <v>0.0401487703685212</v>
      </c>
    </row>
    <row r="13" customFormat="false" ht="15" hidden="false" customHeight="false" outlineLevel="0" collapsed="false">
      <c r="A13" s="6" t="s">
        <v>15</v>
      </c>
      <c r="B13" s="7" t="n">
        <v>4100</v>
      </c>
      <c r="C13" s="8" t="n">
        <f aca="false">B13/SUM($B$9:$B$27)</f>
        <v>0.0454104439590819</v>
      </c>
      <c r="D13" s="9" t="n">
        <v>2821</v>
      </c>
      <c r="E13" s="8" t="n">
        <f aca="false">D13/SUM($D$9:$D$27)</f>
        <v>0.0960078957220161</v>
      </c>
      <c r="F13" s="10" t="n">
        <f aca="false">$B$4*E13+$B$5*C13</f>
        <v>0.070709169840549</v>
      </c>
    </row>
    <row r="14" customFormat="false" ht="15" hidden="false" customHeight="false" outlineLevel="0" collapsed="false">
      <c r="A14" s="6" t="s">
        <v>16</v>
      </c>
      <c r="B14" s="7" t="n">
        <v>3958.8</v>
      </c>
      <c r="C14" s="8" t="n">
        <f aca="false">B14/SUM($B$9:$B$27)</f>
        <v>0.0438465525720032</v>
      </c>
      <c r="D14" s="9" t="n">
        <v>341</v>
      </c>
      <c r="E14" s="8" t="n">
        <f aca="false">D14/SUM($D$9:$D$27)</f>
        <v>0.0116053500323316</v>
      </c>
      <c r="F14" s="10" t="n">
        <f aca="false">$B$4*E14+$B$5*C14</f>
        <v>0.0277259513021674</v>
      </c>
    </row>
    <row r="15" customFormat="false" ht="15" hidden="false" customHeight="false" outlineLevel="0" collapsed="false">
      <c r="A15" s="6" t="s">
        <v>17</v>
      </c>
      <c r="B15" s="7" t="n">
        <v>3200</v>
      </c>
      <c r="C15" s="8" t="n">
        <f aca="false">B15/SUM($B$9:$B$27)</f>
        <v>0.0354422977241615</v>
      </c>
      <c r="D15" s="9" t="n">
        <v>304</v>
      </c>
      <c r="E15" s="8" t="n">
        <f aca="false">D15/SUM($D$9:$D$27)</f>
        <v>0.0103461185038968</v>
      </c>
      <c r="F15" s="10" t="n">
        <f aca="false">$B$4*E15+$B$5*C15</f>
        <v>0.0228942081140291</v>
      </c>
    </row>
    <row r="16" customFormat="false" ht="15" hidden="false" customHeight="false" outlineLevel="0" collapsed="false">
      <c r="A16" s="6" t="s">
        <v>18</v>
      </c>
      <c r="B16" s="7" t="n">
        <v>2400</v>
      </c>
      <c r="C16" s="8" t="n">
        <f aca="false">B16/SUM($B$9:$B$27)</f>
        <v>0.0265817232931211</v>
      </c>
      <c r="D16" s="9" t="n">
        <v>307</v>
      </c>
      <c r="E16" s="8" t="n">
        <f aca="false">D16/SUM($D$9:$D$27)</f>
        <v>0.0104482183575537</v>
      </c>
      <c r="F16" s="10" t="n">
        <f aca="false">$B$4*E16+$B$5*C16</f>
        <v>0.0185149708253374</v>
      </c>
    </row>
    <row r="17" customFormat="false" ht="15" hidden="false" customHeight="false" outlineLevel="0" collapsed="false">
      <c r="A17" s="6" t="s">
        <v>19</v>
      </c>
      <c r="B17" s="7" t="n">
        <v>2320</v>
      </c>
      <c r="C17" s="8" t="n">
        <f aca="false">B17/SUM($B$9:$B$27)</f>
        <v>0.0256956658500171</v>
      </c>
      <c r="D17" s="9" t="n">
        <v>586</v>
      </c>
      <c r="E17" s="8" t="n">
        <f aca="false">D17/SUM($D$9:$D$27)</f>
        <v>0.0199435047476432</v>
      </c>
      <c r="F17" s="10" t="n">
        <f aca="false">$B$4*E17+$B$5*C17</f>
        <v>0.0228195852988301</v>
      </c>
    </row>
    <row r="18" customFormat="false" ht="15" hidden="false" customHeight="false" outlineLevel="0" collapsed="false">
      <c r="A18" s="6" t="s">
        <v>20</v>
      </c>
      <c r="B18" s="7" t="n">
        <v>2256.9</v>
      </c>
      <c r="C18" s="8" t="n">
        <f aca="false">B18/SUM($B$9:$B$27)</f>
        <v>0.0249967880417687</v>
      </c>
      <c r="D18" s="9" t="n">
        <v>438</v>
      </c>
      <c r="E18" s="8" t="n">
        <f aca="false">D18/SUM($D$9:$D$27)</f>
        <v>0.014906578633904</v>
      </c>
      <c r="F18" s="10" t="n">
        <f aca="false">$B$4*E18+$B$5*C18</f>
        <v>0.0199516833378364</v>
      </c>
    </row>
    <row r="19" customFormat="false" ht="15" hidden="false" customHeight="false" outlineLevel="0" collapsed="false">
      <c r="A19" s="6" t="s">
        <v>21</v>
      </c>
      <c r="B19" s="7" t="n">
        <v>2076.4</v>
      </c>
      <c r="C19" s="8" t="n">
        <f aca="false">B19/SUM($B$9:$B$27)</f>
        <v>0.0229976209357653</v>
      </c>
      <c r="D19" s="9" t="n">
        <v>1844</v>
      </c>
      <c r="E19" s="8" t="n">
        <f aca="false">D19/SUM($D$9:$D$27)</f>
        <v>0.0627573767144267</v>
      </c>
      <c r="F19" s="10" t="n">
        <f aca="false">$B$4*E19+$B$5*C19</f>
        <v>0.042877498825096</v>
      </c>
    </row>
    <row r="20" customFormat="false" ht="15" hidden="false" customHeight="false" outlineLevel="0" collapsed="false">
      <c r="A20" s="6" t="s">
        <v>22</v>
      </c>
      <c r="B20" s="7" t="n">
        <v>1858.6</v>
      </c>
      <c r="C20" s="8" t="n">
        <f aca="false">B20/SUM($B$9:$B$27)</f>
        <v>0.0205853295469145</v>
      </c>
      <c r="D20" s="9" t="n">
        <v>644</v>
      </c>
      <c r="E20" s="8" t="n">
        <f aca="false">D20/SUM($D$9:$D$27)</f>
        <v>0.0219174352516761</v>
      </c>
      <c r="F20" s="10" t="n">
        <f aca="false">$B$4*E20+$B$5*C20</f>
        <v>0.0212513823992953</v>
      </c>
    </row>
    <row r="21" customFormat="false" ht="15" hidden="false" customHeight="false" outlineLevel="0" collapsed="false">
      <c r="A21" s="6" t="s">
        <v>23</v>
      </c>
      <c r="B21" s="7" t="n">
        <v>1862.7</v>
      </c>
      <c r="C21" s="8" t="n">
        <f aca="false">B21/SUM($B$9:$B$27)</f>
        <v>0.0206307399908736</v>
      </c>
      <c r="D21" s="9" t="n">
        <v>441</v>
      </c>
      <c r="E21" s="8" t="n">
        <f aca="false">D21/SUM($D$9:$D$27)</f>
        <v>0.0150086784875608</v>
      </c>
      <c r="F21" s="10" t="n">
        <f aca="false">$B$4*E21+$B$5*C21</f>
        <v>0.0178197092392172</v>
      </c>
    </row>
    <row r="22" customFormat="false" ht="15" hidden="false" customHeight="false" outlineLevel="0" collapsed="false">
      <c r="A22" s="6" t="s">
        <v>24</v>
      </c>
      <c r="B22" s="7" t="n">
        <v>1829.5</v>
      </c>
      <c r="C22" s="8" t="n">
        <f aca="false">B22/SUM($B$9:$B$27)</f>
        <v>0.0202630261519854</v>
      </c>
      <c r="D22" s="9" t="n">
        <v>395</v>
      </c>
      <c r="E22" s="8" t="n">
        <f aca="false">D22/SUM($D$9:$D$27)</f>
        <v>0.0134431473981554</v>
      </c>
      <c r="F22" s="10" t="n">
        <f aca="false">$B$4*E22+$B$5*C22</f>
        <v>0.0168530867750704</v>
      </c>
    </row>
    <row r="23" customFormat="false" ht="15" hidden="false" customHeight="false" outlineLevel="0" collapsed="false">
      <c r="A23" s="6" t="s">
        <v>25</v>
      </c>
      <c r="B23" s="7" t="n">
        <v>1443.3</v>
      </c>
      <c r="C23" s="8" t="n">
        <f aca="false">B23/SUM($B$9:$B$27)</f>
        <v>0.0159855838454007</v>
      </c>
      <c r="D23" s="9" t="n">
        <v>830</v>
      </c>
      <c r="E23" s="8" t="n">
        <f aca="false">D23/SUM($D$9:$D$27)</f>
        <v>0.0282476261784025</v>
      </c>
      <c r="F23" s="10" t="n">
        <f aca="false">$B$4*E23+$B$5*C23</f>
        <v>0.0221166050119016</v>
      </c>
    </row>
    <row r="24" customFormat="false" ht="15" hidden="false" customHeight="false" outlineLevel="0" collapsed="false">
      <c r="A24" s="6" t="s">
        <v>26</v>
      </c>
      <c r="B24" s="7" t="n">
        <v>1437.4</v>
      </c>
      <c r="C24" s="8" t="n">
        <f aca="false">B24/SUM($B$9:$B$27)</f>
        <v>0.0159202371089718</v>
      </c>
      <c r="D24" s="9" t="n">
        <v>399</v>
      </c>
      <c r="E24" s="8" t="n">
        <f aca="false">D24/SUM($D$9:$D$27)</f>
        <v>0.0135792805363646</v>
      </c>
      <c r="F24" s="10" t="n">
        <f aca="false">$B$4*E24+$B$5*C24</f>
        <v>0.0147497588226682</v>
      </c>
    </row>
    <row r="25" customFormat="false" ht="15" hidden="false" customHeight="false" outlineLevel="0" collapsed="false">
      <c r="A25" s="6" t="s">
        <v>27</v>
      </c>
      <c r="B25" s="7" t="n">
        <v>1268.5</v>
      </c>
      <c r="C25" s="8" t="n">
        <f aca="false">B25/SUM($B$9:$B$27)</f>
        <v>0.0140495483322184</v>
      </c>
      <c r="D25" s="9" t="n">
        <v>657</v>
      </c>
      <c r="E25" s="8" t="n">
        <f aca="false">D25/SUM($D$9:$D$27)</f>
        <v>0.0223598679508559</v>
      </c>
      <c r="F25" s="10" t="n">
        <f aca="false">$B$4*E25+$B$5*C25</f>
        <v>0.0182047081415372</v>
      </c>
    </row>
    <row r="26" customFormat="false" ht="15" hidden="false" customHeight="false" outlineLevel="0" collapsed="false">
      <c r="A26" s="6" t="s">
        <v>28</v>
      </c>
      <c r="B26" s="7" t="n">
        <v>683.4</v>
      </c>
      <c r="C26" s="8" t="n">
        <f aca="false">B26/SUM($B$9:$B$27)</f>
        <v>0.00756914570771623</v>
      </c>
      <c r="D26" s="9" t="n">
        <v>378</v>
      </c>
      <c r="E26" s="8" t="n">
        <f aca="false">D26/SUM($D$9:$D$27)</f>
        <v>0.0128645815607664</v>
      </c>
      <c r="F26" s="10" t="n">
        <f aca="false">$B$4*E26+$B$5*C26</f>
        <v>0.0102168636342413</v>
      </c>
    </row>
    <row r="27" customFormat="false" ht="15" hidden="false" customHeight="false" outlineLevel="0" collapsed="false">
      <c r="A27" s="6" t="s">
        <v>29</v>
      </c>
      <c r="B27" s="7" t="n">
        <v>426.4</v>
      </c>
      <c r="C27" s="8" t="n">
        <f aca="false">B27/SUM($B$9:$B$27)</f>
        <v>0.00472268617174451</v>
      </c>
      <c r="D27" s="9" t="n">
        <v>447</v>
      </c>
      <c r="E27" s="8" t="n">
        <f aca="false">D27/SUM($D$9:$D$27)</f>
        <v>0.0152128781948746</v>
      </c>
      <c r="F27" s="10" t="n">
        <f aca="false">$B$4*E27+$B$5*C27</f>
        <v>0.00996778218330955</v>
      </c>
    </row>
    <row r="28" customFormat="false" ht="15" hidden="false" customHeight="false" outlineLevel="0" collapsed="false">
      <c r="A28" s="11" t="s">
        <v>30</v>
      </c>
      <c r="B28" s="12" t="n">
        <f aca="false">SUM(B9:B27)</f>
        <v>90287.6</v>
      </c>
      <c r="C28" s="13" t="n">
        <f aca="false">SUM(C9:C27)</f>
        <v>1</v>
      </c>
      <c r="D28" s="14" t="n">
        <f aca="false">SUM(D9:D27)</f>
        <v>29383</v>
      </c>
      <c r="E28" s="13" t="n">
        <f aca="false">SUM(E9:E27)</f>
        <v>1</v>
      </c>
      <c r="F28" s="11"/>
    </row>
    <row r="30" customFormat="false" ht="15" hidden="false" customHeight="false" outlineLevel="0" collapsed="false">
      <c r="A30" s="2" t="s">
        <v>31</v>
      </c>
    </row>
    <row r="31" customFormat="false" ht="15" hidden="false" customHeight="false" outlineLevel="0" collapsed="false">
      <c r="A31" s="15" t="s">
        <v>32</v>
      </c>
    </row>
    <row r="32" customFormat="false" ht="15" hidden="false" customHeight="false" outlineLevel="0" collapsed="false">
      <c r="A32" s="15" t="s">
        <v>33</v>
      </c>
    </row>
    <row r="33" customFormat="false" ht="15" hidden="false" customHeight="false" outlineLevel="0" collapsed="false">
      <c r="A33" s="15" t="s">
        <v>34</v>
      </c>
    </row>
    <row r="34" customFormat="false" ht="15" hidden="false" customHeight="false" outlineLevel="0" collapsed="false">
      <c r="A34" s="15" t="s">
        <v>35</v>
      </c>
    </row>
    <row r="35" customFormat="false" ht="15" hidden="false" customHeight="false" outlineLevel="0" collapsed="false">
      <c r="A35" s="16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2026-10-16T10:03:54Z</dcterms:created>
  <dc:creator>openpyxl</dc:creator>
  <dc:description/>
  <dc:language>en-US</dc:language>
  <cp:lastModifiedBy/>
  <dcterms:modified xsi:type="dcterms:W3CDTF">2026-10-16T10:03:54Z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